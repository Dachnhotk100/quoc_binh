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obert\Desktop\data_svn\ML\lab7\"/>
    </mc:Choice>
  </mc:AlternateContent>
  <bookViews>
    <workbookView xWindow="0" yWindow="0" windowWidth="24450" windowHeight="12435" activeTab="2"/>
  </bookViews>
  <sheets>
    <sheet name="Arkusz1" sheetId="1" r:id="rId1"/>
    <sheet name="Arkusz2" sheetId="2" r:id="rId2"/>
    <sheet name="adaBoost" sheetId="3" r:id="rId3"/>
    <sheet name="Arkusz4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2" i="3" l="1"/>
  <c r="F12" i="3"/>
  <c r="H11" i="3"/>
  <c r="H5" i="3"/>
  <c r="H6" i="3"/>
  <c r="H7" i="3"/>
  <c r="H8" i="3"/>
  <c r="H9" i="3"/>
  <c r="H10" i="3"/>
  <c r="H4" i="3"/>
  <c r="G12" i="3"/>
  <c r="C24" i="3"/>
  <c r="C21" i="3"/>
  <c r="C18" i="3"/>
  <c r="F14" i="2" l="1"/>
  <c r="F15" i="2"/>
  <c r="F16" i="2"/>
  <c r="F17" i="2"/>
  <c r="F18" i="2"/>
  <c r="F13" i="2"/>
  <c r="H13" i="2"/>
  <c r="G14" i="2"/>
  <c r="G15" i="2"/>
  <c r="G16" i="2"/>
  <c r="G17" i="2"/>
  <c r="G18" i="2"/>
  <c r="G13" i="2"/>
  <c r="H6" i="2"/>
  <c r="F34" i="1"/>
  <c r="F35" i="1"/>
  <c r="F36" i="1"/>
  <c r="F37" i="1"/>
  <c r="F38" i="1"/>
  <c r="G38" i="1" s="1"/>
  <c r="F33" i="1"/>
  <c r="G33" i="1" s="1"/>
  <c r="G37" i="1"/>
  <c r="G36" i="1"/>
  <c r="G35" i="1"/>
  <c r="G34" i="1"/>
  <c r="F23" i="1"/>
  <c r="G24" i="1"/>
  <c r="G25" i="1"/>
  <c r="G26" i="1"/>
  <c r="G27" i="1"/>
  <c r="G28" i="1"/>
  <c r="G23" i="1"/>
  <c r="F24" i="1"/>
  <c r="F25" i="1"/>
  <c r="F26" i="1"/>
  <c r="F27" i="1"/>
  <c r="F28" i="1"/>
  <c r="F14" i="1"/>
  <c r="F15" i="1"/>
  <c r="F16" i="1"/>
  <c r="F17" i="1"/>
  <c r="F18" i="1"/>
  <c r="F13" i="1"/>
  <c r="G14" i="1"/>
  <c r="G15" i="1"/>
  <c r="G16" i="1"/>
  <c r="G17" i="1"/>
  <c r="G18" i="1"/>
  <c r="G13" i="1"/>
</calcChain>
</file>

<file path=xl/sharedStrings.xml><?xml version="1.0" encoding="utf-8"?>
<sst xmlns="http://schemas.openxmlformats.org/spreadsheetml/2006/main" count="224" uniqueCount="80">
  <si>
    <t>Height</t>
  </si>
  <si>
    <t>Favorite Color</t>
  </si>
  <si>
    <t>Geneder</t>
  </si>
  <si>
    <t>Weight</t>
  </si>
  <si>
    <t>Blue</t>
  </si>
  <si>
    <t>Gree</t>
  </si>
  <si>
    <t>Green</t>
  </si>
  <si>
    <t>Red</t>
  </si>
  <si>
    <t>Male</t>
  </si>
  <si>
    <t>Female</t>
  </si>
  <si>
    <t>Average Weight</t>
  </si>
  <si>
    <t>Residual</t>
  </si>
  <si>
    <t>Predicted Weight</t>
  </si>
  <si>
    <t>AvgRes</t>
  </si>
  <si>
    <t>LearningRate</t>
  </si>
  <si>
    <t>…</t>
  </si>
  <si>
    <t>Likes Popcorn</t>
  </si>
  <si>
    <t>Age</t>
  </si>
  <si>
    <t>Loves Troll2</t>
  </si>
  <si>
    <t>Yes</t>
  </si>
  <si>
    <t>No</t>
  </si>
  <si>
    <t>Initial Prediction</t>
  </si>
  <si>
    <t>Residuals</t>
  </si>
  <si>
    <t>Yes=1;No=0</t>
  </si>
  <si>
    <t>Color=Red</t>
  </si>
  <si>
    <t>Age&gt;37</t>
  </si>
  <si>
    <t>0,3;-0,7</t>
  </si>
  <si>
    <t>0,3;0,3;0,3</t>
  </si>
  <si>
    <t>OutRes</t>
  </si>
  <si>
    <t>OutRes=Sum[Res_i]/Sum[Prev_Prob_i)*(1-PrevProb_i)]</t>
  </si>
  <si>
    <t>Pred_Prob=e^y/(1+e^y)</t>
  </si>
  <si>
    <t>y=0,7+Sum[OutRes_i]</t>
  </si>
  <si>
    <t>Pred_Prob</t>
  </si>
  <si>
    <t>Leg Pain</t>
  </si>
  <si>
    <t>High Suger Level</t>
  </si>
  <si>
    <t xml:space="preserve">Diabetes </t>
  </si>
  <si>
    <t xml:space="preserve">No </t>
  </si>
  <si>
    <t>Weight (lb)</t>
  </si>
  <si>
    <t>Correct</t>
  </si>
  <si>
    <t>Incorrect</t>
  </si>
  <si>
    <t>Yes Diabetes</t>
  </si>
  <si>
    <t>No Diabetes</t>
  </si>
  <si>
    <t>Weight &gt;176</t>
  </si>
  <si>
    <t>TotalError=</t>
  </si>
  <si>
    <t>sum of the weights  for the incorrectly classified samples</t>
  </si>
  <si>
    <t>Gini Index</t>
  </si>
  <si>
    <t>AmountOfSay=</t>
  </si>
  <si>
    <t>AmounfOfSay(1/8)=</t>
  </si>
  <si>
    <t>1/2 *ln( (1-TotalError)/TotalError)</t>
  </si>
  <si>
    <t>NewSampleWeight_incorrectSample=</t>
  </si>
  <si>
    <t>sample weight*e^(amountOfSay)</t>
  </si>
  <si>
    <t>NewSampleWeight</t>
  </si>
  <si>
    <t>NewSampleWeight_correctSample=</t>
  </si>
  <si>
    <t>sample weight*e^(-amountOfSay)</t>
  </si>
  <si>
    <t>NewWeight</t>
  </si>
  <si>
    <t>2. size of new input set is equal to the size of previous data set</t>
  </si>
  <si>
    <t>3. set equal weights in new data set</t>
  </si>
  <si>
    <t>4. build stumps</t>
  </si>
  <si>
    <t>5.calculate GiniIndexes</t>
  </si>
  <si>
    <t>Step 2</t>
  </si>
  <si>
    <t xml:space="preserve">6. take STUMP with the lowest Gini Index  </t>
  </si>
  <si>
    <t>7. calculate TotalError</t>
  </si>
  <si>
    <t>9. calculate newSampleWeight for incorrectSamples</t>
  </si>
  <si>
    <t>8. calculate amountOfSay</t>
  </si>
  <si>
    <t>10. calculate newSampleWeight for incorrectSamples</t>
  </si>
  <si>
    <t>1 .create new data set basing on NormalizedWeights</t>
  </si>
  <si>
    <t>(Roulette method)</t>
  </si>
  <si>
    <t>Setp 3 …</t>
  </si>
  <si>
    <t>NormalizedNewWeight</t>
  </si>
  <si>
    <t>SampleWeight</t>
  </si>
  <si>
    <t>sum(StumpYES(i)_AmountOfSay) &lt;&gt;? sum(StumpNo(j)_AmountOfSay)</t>
  </si>
  <si>
    <t>Classification condition</t>
  </si>
  <si>
    <t>Step 1</t>
  </si>
  <si>
    <t>Univeristy</t>
  </si>
  <si>
    <t>Salary</t>
  </si>
  <si>
    <t>Erasmus</t>
  </si>
  <si>
    <t>NO</t>
  </si>
  <si>
    <t>Oxford</t>
  </si>
  <si>
    <t>Cambridge</t>
  </si>
  <si>
    <t>High Glucose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</si>
</sst>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6" formatCode="0.0000E+00"/>
  </numFmts>
  <fonts count="2" x14ac:knownFonts="1">
    <font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2" borderId="0" xfId="0" applyFill="1"/>
    <xf numFmtId="0" fontId="0" fillId="0" borderId="0" xfId="0" applyBorder="1"/>
    <xf numFmtId="164" fontId="0" fillId="0" borderId="1" xfId="0" applyNumberFormat="1" applyBorder="1"/>
    <xf numFmtId="164" fontId="0" fillId="0" borderId="0" xfId="0" applyNumberFormat="1" applyBorder="1"/>
    <xf numFmtId="164" fontId="0" fillId="0" borderId="0" xfId="0" applyNumberFormat="1"/>
    <xf numFmtId="164" fontId="0" fillId="4" borderId="1" xfId="0" applyNumberFormat="1" applyFill="1" applyBorder="1"/>
    <xf numFmtId="164" fontId="0" fillId="5" borderId="1" xfId="0" applyNumberFormat="1" applyFill="1" applyBorder="1"/>
    <xf numFmtId="164" fontId="0" fillId="3" borderId="1" xfId="0" applyNumberFormat="1" applyFill="1" applyBorder="1" applyAlignment="1">
      <alignment wrapText="1"/>
    </xf>
    <xf numFmtId="164" fontId="0" fillId="4" borderId="1" xfId="0" applyNumberFormat="1" applyFill="1" applyBorder="1" applyAlignment="1">
      <alignment wrapText="1"/>
    </xf>
    <xf numFmtId="164" fontId="0" fillId="6" borderId="1" xfId="0" applyNumberFormat="1" applyFill="1" applyBorder="1" applyAlignment="1">
      <alignment wrapText="1"/>
    </xf>
    <xf numFmtId="164" fontId="0" fillId="6" borderId="1" xfId="0" applyNumberFormat="1" applyFill="1" applyBorder="1"/>
    <xf numFmtId="0" fontId="0" fillId="3" borderId="0" xfId="0" applyFill="1"/>
    <xf numFmtId="0" fontId="1" fillId="3" borderId="1" xfId="0" applyFont="1" applyFill="1" applyBorder="1"/>
    <xf numFmtId="0" fontId="1" fillId="6" borderId="2" xfId="0" applyFont="1" applyFill="1" applyBorder="1"/>
    <xf numFmtId="0" fontId="1" fillId="2" borderId="0" xfId="0" applyFont="1" applyFill="1"/>
    <xf numFmtId="0" fontId="1" fillId="6" borderId="1" xfId="0" applyFont="1" applyFill="1" applyBorder="1"/>
    <xf numFmtId="0" fontId="0" fillId="2" borderId="0" xfId="0" applyFill="1" applyBorder="1"/>
    <xf numFmtId="0" fontId="0" fillId="2" borderId="2" xfId="0" applyFill="1" applyBorder="1"/>
    <xf numFmtId="0" fontId="0" fillId="0" borderId="0" xfId="0" applyFill="1" applyBorder="1"/>
    <xf numFmtId="0" fontId="0" fillId="0" borderId="3" xfId="0" applyFill="1" applyBorder="1"/>
    <xf numFmtId="0" fontId="1" fillId="3" borderId="1" xfId="0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2" fontId="0" fillId="0" borderId="1" xfId="0" applyNumberFormat="1" applyBorder="1"/>
    <xf numFmtId="2" fontId="0" fillId="0" borderId="0" xfId="0" applyNumberFormat="1" applyBorder="1"/>
    <xf numFmtId="0" fontId="0" fillId="4" borderId="1" xfId="0" applyFill="1" applyBorder="1" applyAlignment="1">
      <alignment horizontal="center"/>
    </xf>
    <xf numFmtId="0" fontId="0" fillId="4" borderId="0" xfId="0" applyFill="1"/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8" borderId="1" xfId="0" applyFill="1" applyBorder="1"/>
    <xf numFmtId="2" fontId="0" fillId="8" borderId="1" xfId="0" applyNumberFormat="1" applyFill="1" applyBorder="1"/>
    <xf numFmtId="0" fontId="0" fillId="8" borderId="0" xfId="0" applyFill="1"/>
    <xf numFmtId="0" fontId="0" fillId="0" borderId="1" xfId="0" applyBorder="1" applyAlignment="1">
      <alignment wrapText="1"/>
    </xf>
    <xf numFmtId="0" fontId="0" fillId="0" borderId="1" xfId="0" applyFill="1" applyBorder="1"/>
    <xf numFmtId="0" fontId="1" fillId="9" borderId="1" xfId="0" applyFont="1" applyFill="1" applyBorder="1" applyAlignment="1">
      <alignment wrapText="1"/>
    </xf>
    <xf numFmtId="0" fontId="1" fillId="9" borderId="6" xfId="0" applyFont="1" applyFill="1" applyBorder="1" applyAlignment="1">
      <alignment wrapText="1"/>
    </xf>
    <xf numFmtId="2" fontId="0" fillId="0" borderId="0" xfId="0" applyNumberFormat="1"/>
    <xf numFmtId="0" fontId="0" fillId="7" borderId="0" xfId="0" applyFill="1"/>
    <xf numFmtId="0" fontId="0" fillId="10" borderId="0" xfId="0" applyFill="1"/>
    <xf numFmtId="166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38"/>
  <sheetViews>
    <sheetView showGridLines="0" topLeftCell="A7" workbookViewId="0">
      <selection activeCell="A31" sqref="A31:I40"/>
    </sheetView>
  </sheetViews>
  <sheetFormatPr defaultRowHeight="15" x14ac:dyDescent="0.25"/>
  <cols>
    <col min="3" max="3" width="14.42578125" customWidth="1"/>
    <col min="6" max="6" width="12.140625" customWidth="1"/>
    <col min="8" max="8" width="17.85546875" customWidth="1"/>
  </cols>
  <sheetData>
    <row r="3" spans="2:8" x14ac:dyDescent="0.25">
      <c r="B3" s="3" t="s">
        <v>0</v>
      </c>
      <c r="C3" s="3" t="s">
        <v>1</v>
      </c>
      <c r="D3" s="3" t="s">
        <v>2</v>
      </c>
      <c r="E3" s="4" t="s">
        <v>3</v>
      </c>
      <c r="F3" s="8"/>
    </row>
    <row r="4" spans="2:8" x14ac:dyDescent="0.25">
      <c r="B4" s="7">
        <v>1.6</v>
      </c>
      <c r="C4" s="7" t="s">
        <v>4</v>
      </c>
      <c r="D4" s="7" t="s">
        <v>8</v>
      </c>
      <c r="E4" s="7">
        <v>88</v>
      </c>
      <c r="F4" s="8"/>
      <c r="G4" s="9"/>
      <c r="H4" s="10" t="s">
        <v>10</v>
      </c>
    </row>
    <row r="5" spans="2:8" x14ac:dyDescent="0.25">
      <c r="B5" s="7">
        <v>1.6</v>
      </c>
      <c r="C5" s="7" t="s">
        <v>6</v>
      </c>
      <c r="D5" s="7" t="s">
        <v>9</v>
      </c>
      <c r="E5" s="7">
        <v>76</v>
      </c>
      <c r="F5" s="8"/>
      <c r="G5" s="9"/>
      <c r="H5" s="7">
        <v>71.2</v>
      </c>
    </row>
    <row r="6" spans="2:8" x14ac:dyDescent="0.25">
      <c r="B6" s="7">
        <v>1.5</v>
      </c>
      <c r="C6" s="7" t="s">
        <v>4</v>
      </c>
      <c r="D6" s="7" t="s">
        <v>9</v>
      </c>
      <c r="E6" s="7">
        <v>56</v>
      </c>
      <c r="F6" s="8"/>
      <c r="G6" s="9"/>
      <c r="H6" s="9"/>
    </row>
    <row r="7" spans="2:8" x14ac:dyDescent="0.25">
      <c r="B7" s="7">
        <v>1.8</v>
      </c>
      <c r="C7" s="7" t="s">
        <v>7</v>
      </c>
      <c r="D7" s="7" t="s">
        <v>8</v>
      </c>
      <c r="E7" s="7">
        <v>73</v>
      </c>
      <c r="F7" s="8"/>
      <c r="G7" s="9"/>
      <c r="H7" s="11" t="s">
        <v>14</v>
      </c>
    </row>
    <row r="8" spans="2:8" x14ac:dyDescent="0.25">
      <c r="B8" s="7">
        <v>1.5</v>
      </c>
      <c r="C8" s="7" t="s">
        <v>6</v>
      </c>
      <c r="D8" s="7" t="s">
        <v>8</v>
      </c>
      <c r="E8" s="7">
        <v>77</v>
      </c>
      <c r="F8" s="8"/>
      <c r="G8" s="9"/>
      <c r="H8" s="7">
        <v>0.1</v>
      </c>
    </row>
    <row r="9" spans="2:8" x14ac:dyDescent="0.25">
      <c r="B9" s="7">
        <v>1.4</v>
      </c>
      <c r="C9" s="7" t="s">
        <v>4</v>
      </c>
      <c r="D9" s="7" t="s">
        <v>9</v>
      </c>
      <c r="E9" s="7">
        <v>57</v>
      </c>
      <c r="F9" s="8"/>
      <c r="G9" s="9"/>
      <c r="H9" s="9"/>
    </row>
    <row r="10" spans="2:8" x14ac:dyDescent="0.25">
      <c r="B10" s="8"/>
      <c r="C10" s="8"/>
      <c r="D10" s="8"/>
      <c r="E10" s="8"/>
      <c r="F10" s="8"/>
      <c r="G10" s="9"/>
      <c r="H10" s="9"/>
    </row>
    <row r="11" spans="2:8" x14ac:dyDescent="0.25">
      <c r="B11" s="8"/>
      <c r="C11" s="8"/>
      <c r="D11" s="8"/>
      <c r="E11" s="8"/>
      <c r="F11" s="8"/>
      <c r="G11" s="9"/>
      <c r="H11" s="9"/>
    </row>
    <row r="12" spans="2:8" ht="27.75" customHeight="1" x14ac:dyDescent="0.25">
      <c r="B12" s="12" t="s">
        <v>0</v>
      </c>
      <c r="C12" s="12" t="s">
        <v>1</v>
      </c>
      <c r="D12" s="12" t="s">
        <v>2</v>
      </c>
      <c r="E12" s="13" t="s">
        <v>3</v>
      </c>
      <c r="F12" s="13" t="s">
        <v>12</v>
      </c>
      <c r="G12" s="14" t="s">
        <v>11</v>
      </c>
      <c r="H12" s="15" t="s">
        <v>13</v>
      </c>
    </row>
    <row r="13" spans="2:8" x14ac:dyDescent="0.25">
      <c r="B13" s="7">
        <v>1.6</v>
      </c>
      <c r="C13" s="7" t="s">
        <v>4</v>
      </c>
      <c r="D13" s="7" t="s">
        <v>8</v>
      </c>
      <c r="E13" s="7">
        <v>88</v>
      </c>
      <c r="F13" s="7">
        <f>$H$5</f>
        <v>71.2</v>
      </c>
      <c r="G13" s="7">
        <f>E13-$H$5</f>
        <v>16.799999999999997</v>
      </c>
      <c r="H13" s="7">
        <v>16.8</v>
      </c>
    </row>
    <row r="14" spans="2:8" x14ac:dyDescent="0.25">
      <c r="B14" s="7">
        <v>1.6</v>
      </c>
      <c r="C14" s="7" t="s">
        <v>6</v>
      </c>
      <c r="D14" s="7" t="s">
        <v>9</v>
      </c>
      <c r="E14" s="7">
        <v>76</v>
      </c>
      <c r="F14" s="7">
        <f t="shared" ref="F14:F18" si="0">$H$5</f>
        <v>71.2</v>
      </c>
      <c r="G14" s="7">
        <f t="shared" ref="G14:G18" si="1">E14-$H$5</f>
        <v>4.7999999999999972</v>
      </c>
      <c r="H14" s="7">
        <v>4.8</v>
      </c>
    </row>
    <row r="15" spans="2:8" x14ac:dyDescent="0.25">
      <c r="B15" s="7">
        <v>1.5</v>
      </c>
      <c r="C15" s="7" t="s">
        <v>4</v>
      </c>
      <c r="D15" s="7" t="s">
        <v>9</v>
      </c>
      <c r="E15" s="7">
        <v>56</v>
      </c>
      <c r="F15" s="7">
        <f t="shared" si="0"/>
        <v>71.2</v>
      </c>
      <c r="G15" s="7">
        <f t="shared" si="1"/>
        <v>-15.200000000000003</v>
      </c>
      <c r="H15" s="7">
        <v>-14.7</v>
      </c>
    </row>
    <row r="16" spans="2:8" x14ac:dyDescent="0.25">
      <c r="B16" s="7">
        <v>1.8</v>
      </c>
      <c r="C16" s="7" t="s">
        <v>7</v>
      </c>
      <c r="D16" s="7" t="s">
        <v>8</v>
      </c>
      <c r="E16" s="7">
        <v>73</v>
      </c>
      <c r="F16" s="7">
        <f t="shared" si="0"/>
        <v>71.2</v>
      </c>
      <c r="G16" s="7">
        <f t="shared" si="1"/>
        <v>1.7999999999999972</v>
      </c>
      <c r="H16" s="7">
        <v>3.8</v>
      </c>
    </row>
    <row r="17" spans="2:8" x14ac:dyDescent="0.25">
      <c r="B17" s="7">
        <v>1.5</v>
      </c>
      <c r="C17" s="7" t="s">
        <v>6</v>
      </c>
      <c r="D17" s="7" t="s">
        <v>8</v>
      </c>
      <c r="E17" s="7">
        <v>77</v>
      </c>
      <c r="F17" s="7">
        <f t="shared" si="0"/>
        <v>71.2</v>
      </c>
      <c r="G17" s="7">
        <f t="shared" si="1"/>
        <v>5.7999999999999972</v>
      </c>
      <c r="H17" s="7">
        <v>3.8</v>
      </c>
    </row>
    <row r="18" spans="2:8" x14ac:dyDescent="0.25">
      <c r="B18" s="7">
        <v>1.4</v>
      </c>
      <c r="C18" s="7" t="s">
        <v>4</v>
      </c>
      <c r="D18" s="7" t="s">
        <v>9</v>
      </c>
      <c r="E18" s="7">
        <v>57</v>
      </c>
      <c r="F18" s="7">
        <f t="shared" si="0"/>
        <v>71.2</v>
      </c>
      <c r="G18" s="7">
        <f t="shared" si="1"/>
        <v>-14.200000000000003</v>
      </c>
      <c r="H18" s="7">
        <v>-14.7</v>
      </c>
    </row>
    <row r="19" spans="2:8" x14ac:dyDescent="0.25">
      <c r="B19" s="8"/>
      <c r="C19" s="8"/>
      <c r="D19" s="8"/>
      <c r="E19" s="8"/>
      <c r="F19" s="8"/>
      <c r="G19" s="8"/>
      <c r="H19" s="8"/>
    </row>
    <row r="20" spans="2:8" x14ac:dyDescent="0.25">
      <c r="B20" s="8"/>
      <c r="C20" s="8"/>
      <c r="D20" s="8"/>
      <c r="E20" s="8"/>
      <c r="F20" s="8"/>
      <c r="G20" s="8"/>
      <c r="H20" s="8"/>
    </row>
    <row r="21" spans="2:8" x14ac:dyDescent="0.25">
      <c r="B21" s="9"/>
      <c r="C21" s="9"/>
      <c r="D21" s="9"/>
      <c r="E21" s="9"/>
      <c r="F21" s="9"/>
      <c r="G21" s="9"/>
      <c r="H21" s="9"/>
    </row>
    <row r="22" spans="2:8" ht="30" x14ac:dyDescent="0.25">
      <c r="B22" s="12" t="s">
        <v>0</v>
      </c>
      <c r="C22" s="12" t="s">
        <v>1</v>
      </c>
      <c r="D22" s="12" t="s">
        <v>2</v>
      </c>
      <c r="E22" s="13" t="s">
        <v>3</v>
      </c>
      <c r="F22" s="13" t="s">
        <v>12</v>
      </c>
      <c r="G22" s="14" t="s">
        <v>11</v>
      </c>
      <c r="H22" s="15" t="s">
        <v>13</v>
      </c>
    </row>
    <row r="23" spans="2:8" x14ac:dyDescent="0.25">
      <c r="B23" s="7">
        <v>1.6</v>
      </c>
      <c r="C23" s="7" t="s">
        <v>4</v>
      </c>
      <c r="D23" s="7" t="s">
        <v>8</v>
      </c>
      <c r="E23" s="7">
        <v>88</v>
      </c>
      <c r="F23" s="7">
        <f>$H$5+$H$8*H13</f>
        <v>72.88000000000001</v>
      </c>
      <c r="G23" s="7">
        <f>E23-F23</f>
        <v>15.11999999999999</v>
      </c>
      <c r="H23" s="7">
        <v>15.12</v>
      </c>
    </row>
    <row r="24" spans="2:8" x14ac:dyDescent="0.25">
      <c r="B24" s="7">
        <v>1.6</v>
      </c>
      <c r="C24" s="7" t="s">
        <v>6</v>
      </c>
      <c r="D24" s="7" t="s">
        <v>9</v>
      </c>
      <c r="E24" s="7">
        <v>76</v>
      </c>
      <c r="F24" s="7">
        <f t="shared" ref="F24:F28" si="2">$H$5+$H$8*H14</f>
        <v>71.680000000000007</v>
      </c>
      <c r="G24" s="7">
        <f t="shared" ref="G24:G28" si="3">E24-F24</f>
        <v>4.3199999999999932</v>
      </c>
      <c r="H24" s="7">
        <v>4.32</v>
      </c>
    </row>
    <row r="25" spans="2:8" x14ac:dyDescent="0.25">
      <c r="B25" s="7">
        <v>1.5</v>
      </c>
      <c r="C25" s="7" t="s">
        <v>4</v>
      </c>
      <c r="D25" s="7" t="s">
        <v>9</v>
      </c>
      <c r="E25" s="7">
        <v>56</v>
      </c>
      <c r="F25" s="7">
        <f t="shared" si="2"/>
        <v>69.73</v>
      </c>
      <c r="G25" s="7">
        <f t="shared" si="3"/>
        <v>-13.730000000000004</v>
      </c>
      <c r="H25" s="7">
        <v>-13.2</v>
      </c>
    </row>
    <row r="26" spans="2:8" x14ac:dyDescent="0.25">
      <c r="B26" s="7">
        <v>1.8</v>
      </c>
      <c r="C26" s="7" t="s">
        <v>7</v>
      </c>
      <c r="D26" s="7" t="s">
        <v>8</v>
      </c>
      <c r="E26" s="7">
        <v>73</v>
      </c>
      <c r="F26" s="7">
        <f t="shared" si="2"/>
        <v>71.58</v>
      </c>
      <c r="G26" s="7">
        <f t="shared" si="3"/>
        <v>1.4200000000000017</v>
      </c>
      <c r="H26" s="7">
        <v>3.4</v>
      </c>
    </row>
    <row r="27" spans="2:8" x14ac:dyDescent="0.25">
      <c r="B27" s="7">
        <v>1.5</v>
      </c>
      <c r="C27" s="7" t="s">
        <v>6</v>
      </c>
      <c r="D27" s="7" t="s">
        <v>8</v>
      </c>
      <c r="E27" s="7">
        <v>77</v>
      </c>
      <c r="F27" s="7">
        <f t="shared" si="2"/>
        <v>71.58</v>
      </c>
      <c r="G27" s="7">
        <f t="shared" si="3"/>
        <v>5.4200000000000017</v>
      </c>
      <c r="H27" s="7">
        <v>3.4</v>
      </c>
    </row>
    <row r="28" spans="2:8" x14ac:dyDescent="0.25">
      <c r="B28" s="7">
        <v>1.4</v>
      </c>
      <c r="C28" s="7" t="s">
        <v>4</v>
      </c>
      <c r="D28" s="7" t="s">
        <v>9</v>
      </c>
      <c r="E28" s="7">
        <v>57</v>
      </c>
      <c r="F28" s="7">
        <f t="shared" si="2"/>
        <v>69.73</v>
      </c>
      <c r="G28" s="7">
        <f t="shared" si="3"/>
        <v>-12.730000000000004</v>
      </c>
      <c r="H28" s="7">
        <v>-13.2</v>
      </c>
    </row>
    <row r="29" spans="2:8" x14ac:dyDescent="0.25">
      <c r="B29" s="9"/>
      <c r="C29" s="9"/>
      <c r="D29" s="9"/>
      <c r="E29" s="9"/>
      <c r="F29" s="9"/>
      <c r="G29" s="9"/>
      <c r="H29" s="9"/>
    </row>
    <row r="30" spans="2:8" x14ac:dyDescent="0.25">
      <c r="B30" s="9"/>
      <c r="C30" s="9"/>
      <c r="D30" s="9"/>
      <c r="E30" s="9"/>
      <c r="F30" s="9"/>
      <c r="G30" s="9"/>
      <c r="H30" s="9"/>
    </row>
    <row r="31" spans="2:8" x14ac:dyDescent="0.25">
      <c r="B31" s="9"/>
      <c r="C31" s="9"/>
      <c r="D31" s="9"/>
      <c r="E31" s="9"/>
      <c r="F31" s="9"/>
      <c r="G31" s="9"/>
      <c r="H31" s="9"/>
    </row>
    <row r="32" spans="2:8" ht="30" x14ac:dyDescent="0.25">
      <c r="B32" s="12" t="s">
        <v>0</v>
      </c>
      <c r="C32" s="12" t="s">
        <v>1</v>
      </c>
      <c r="D32" s="12" t="s">
        <v>2</v>
      </c>
      <c r="E32" s="13" t="s">
        <v>3</v>
      </c>
      <c r="F32" s="13" t="s">
        <v>12</v>
      </c>
      <c r="G32" s="14" t="s">
        <v>11</v>
      </c>
      <c r="H32" s="15" t="s">
        <v>13</v>
      </c>
    </row>
    <row r="33" spans="2:8" x14ac:dyDescent="0.25">
      <c r="B33" s="7">
        <v>1.6</v>
      </c>
      <c r="C33" s="7" t="s">
        <v>4</v>
      </c>
      <c r="D33" s="7" t="s">
        <v>8</v>
      </c>
      <c r="E33" s="7">
        <v>88</v>
      </c>
      <c r="F33" s="7">
        <f>$H$5+$H$8*H13+$H$8*H23</f>
        <v>74.39200000000001</v>
      </c>
      <c r="G33" s="7">
        <f>E33-F33</f>
        <v>13.60799999999999</v>
      </c>
      <c r="H33" s="7" t="s">
        <v>15</v>
      </c>
    </row>
    <row r="34" spans="2:8" x14ac:dyDescent="0.25">
      <c r="B34" s="7">
        <v>1.6</v>
      </c>
      <c r="C34" s="7" t="s">
        <v>6</v>
      </c>
      <c r="D34" s="7" t="s">
        <v>9</v>
      </c>
      <c r="E34" s="7">
        <v>76</v>
      </c>
      <c r="F34" s="7">
        <f t="shared" ref="F34:F38" si="4">$H$5+$H$8*H14+$H$8*H24</f>
        <v>72.112000000000009</v>
      </c>
      <c r="G34" s="7">
        <f t="shared" ref="G34:G38" si="5">E34-F34</f>
        <v>3.887999999999991</v>
      </c>
      <c r="H34" s="7" t="s">
        <v>15</v>
      </c>
    </row>
    <row r="35" spans="2:8" x14ac:dyDescent="0.25">
      <c r="B35" s="7">
        <v>1.5</v>
      </c>
      <c r="C35" s="7" t="s">
        <v>4</v>
      </c>
      <c r="D35" s="7" t="s">
        <v>9</v>
      </c>
      <c r="E35" s="7">
        <v>56</v>
      </c>
      <c r="F35" s="7">
        <f t="shared" si="4"/>
        <v>68.410000000000011</v>
      </c>
      <c r="G35" s="7">
        <f t="shared" si="5"/>
        <v>-12.410000000000011</v>
      </c>
      <c r="H35" s="7" t="s">
        <v>15</v>
      </c>
    </row>
    <row r="36" spans="2:8" x14ac:dyDescent="0.25">
      <c r="B36" s="7">
        <v>1.8</v>
      </c>
      <c r="C36" s="7" t="s">
        <v>7</v>
      </c>
      <c r="D36" s="7" t="s">
        <v>8</v>
      </c>
      <c r="E36" s="7">
        <v>73</v>
      </c>
      <c r="F36" s="7">
        <f t="shared" si="4"/>
        <v>71.92</v>
      </c>
      <c r="G36" s="7">
        <f t="shared" si="5"/>
        <v>1.0799999999999983</v>
      </c>
      <c r="H36" s="7" t="s">
        <v>15</v>
      </c>
    </row>
    <row r="37" spans="2:8" x14ac:dyDescent="0.25">
      <c r="B37" s="7">
        <v>1.5</v>
      </c>
      <c r="C37" s="7" t="s">
        <v>6</v>
      </c>
      <c r="D37" s="7" t="s">
        <v>8</v>
      </c>
      <c r="E37" s="7">
        <v>77</v>
      </c>
      <c r="F37" s="7">
        <f t="shared" si="4"/>
        <v>71.92</v>
      </c>
      <c r="G37" s="7">
        <f t="shared" si="5"/>
        <v>5.0799999999999983</v>
      </c>
      <c r="H37" s="7" t="s">
        <v>15</v>
      </c>
    </row>
    <row r="38" spans="2:8" x14ac:dyDescent="0.25">
      <c r="B38" s="7">
        <v>1.4</v>
      </c>
      <c r="C38" s="7" t="s">
        <v>4</v>
      </c>
      <c r="D38" s="7" t="s">
        <v>9</v>
      </c>
      <c r="E38" s="7">
        <v>57</v>
      </c>
      <c r="F38" s="7">
        <f t="shared" si="4"/>
        <v>68.410000000000011</v>
      </c>
      <c r="G38" s="7">
        <f t="shared" si="5"/>
        <v>-11.410000000000011</v>
      </c>
      <c r="H38" s="7" t="s">
        <v>15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21"/>
  <sheetViews>
    <sheetView showGridLines="0" workbookViewId="0">
      <selection activeCell="A2" sqref="A2:N22"/>
    </sheetView>
  </sheetViews>
  <sheetFormatPr defaultRowHeight="15" x14ac:dyDescent="0.25"/>
  <cols>
    <col min="2" max="2" width="15.28515625" customWidth="1"/>
    <col min="4" max="4" width="15.140625" customWidth="1"/>
    <col min="5" max="6" width="11.42578125" customWidth="1"/>
    <col min="8" max="9" width="18" customWidth="1"/>
    <col min="10" max="10" width="12.7109375" customWidth="1"/>
    <col min="11" max="11" width="15.85546875" customWidth="1"/>
    <col min="13" max="13" width="13.7109375" customWidth="1"/>
  </cols>
  <sheetData>
    <row r="3" spans="2:13" x14ac:dyDescent="0.25">
      <c r="B3" s="17" t="s">
        <v>16</v>
      </c>
      <c r="C3" s="17" t="s">
        <v>17</v>
      </c>
      <c r="D3" s="17" t="s">
        <v>1</v>
      </c>
      <c r="E3" s="2" t="s">
        <v>18</v>
      </c>
      <c r="F3" s="21"/>
    </row>
    <row r="4" spans="2:13" x14ac:dyDescent="0.25">
      <c r="B4" s="1" t="s">
        <v>19</v>
      </c>
      <c r="C4" s="1">
        <v>12</v>
      </c>
      <c r="D4" s="1" t="s">
        <v>4</v>
      </c>
      <c r="E4" s="1" t="s">
        <v>19</v>
      </c>
      <c r="F4" s="6"/>
    </row>
    <row r="5" spans="2:13" x14ac:dyDescent="0.25">
      <c r="B5" s="1" t="s">
        <v>19</v>
      </c>
      <c r="C5" s="1">
        <v>87</v>
      </c>
      <c r="D5" s="1" t="s">
        <v>5</v>
      </c>
      <c r="E5" s="1" t="s">
        <v>19</v>
      </c>
      <c r="F5" s="6"/>
      <c r="H5" s="5" t="s">
        <v>21</v>
      </c>
    </row>
    <row r="6" spans="2:13" x14ac:dyDescent="0.25">
      <c r="B6" s="1" t="s">
        <v>20</v>
      </c>
      <c r="C6" s="1">
        <v>44</v>
      </c>
      <c r="D6" s="1" t="s">
        <v>4</v>
      </c>
      <c r="E6" s="1" t="s">
        <v>20</v>
      </c>
      <c r="F6" s="6"/>
      <c r="G6" s="23"/>
      <c r="H6" s="9">
        <f>LN(4/2)</f>
        <v>0.69314718055994529</v>
      </c>
    </row>
    <row r="7" spans="2:13" x14ac:dyDescent="0.25">
      <c r="B7" s="1" t="s">
        <v>19</v>
      </c>
      <c r="C7" s="1">
        <v>19</v>
      </c>
      <c r="D7" s="1" t="s">
        <v>7</v>
      </c>
      <c r="E7" s="1" t="s">
        <v>20</v>
      </c>
      <c r="F7" s="6"/>
    </row>
    <row r="8" spans="2:13" x14ac:dyDescent="0.25">
      <c r="B8" s="1" t="s">
        <v>20</v>
      </c>
      <c r="C8" s="1">
        <v>32</v>
      </c>
      <c r="D8" s="1" t="s">
        <v>6</v>
      </c>
      <c r="E8" s="1" t="s">
        <v>19</v>
      </c>
      <c r="F8" s="6"/>
    </row>
    <row r="9" spans="2:13" x14ac:dyDescent="0.25">
      <c r="B9" s="1" t="s">
        <v>20</v>
      </c>
      <c r="C9" s="1">
        <v>12</v>
      </c>
      <c r="D9" s="1" t="s">
        <v>4</v>
      </c>
      <c r="E9" s="1" t="s">
        <v>19</v>
      </c>
      <c r="F9" s="6"/>
    </row>
    <row r="11" spans="2:13" x14ac:dyDescent="0.25">
      <c r="E11" t="s">
        <v>23</v>
      </c>
    </row>
    <row r="12" spans="2:13" x14ac:dyDescent="0.25">
      <c r="B12" s="17" t="s">
        <v>16</v>
      </c>
      <c r="C12" s="17" t="s">
        <v>17</v>
      </c>
      <c r="D12" s="17" t="s">
        <v>1</v>
      </c>
      <c r="E12" s="2" t="s">
        <v>18</v>
      </c>
      <c r="F12" s="22" t="s">
        <v>32</v>
      </c>
      <c r="G12" s="18" t="s">
        <v>22</v>
      </c>
      <c r="H12" s="20" t="s">
        <v>28</v>
      </c>
      <c r="K12" s="16" t="s">
        <v>24</v>
      </c>
    </row>
    <row r="13" spans="2:13" x14ac:dyDescent="0.25">
      <c r="B13" s="1" t="s">
        <v>19</v>
      </c>
      <c r="C13" s="1">
        <v>12</v>
      </c>
      <c r="D13" s="1" t="s">
        <v>4</v>
      </c>
      <c r="E13" s="1">
        <v>1</v>
      </c>
      <c r="F13" s="7">
        <f>$H$6</f>
        <v>0.69314718055994529</v>
      </c>
      <c r="G13" s="7">
        <f>E13-$H$6</f>
        <v>0.30685281944005471</v>
      </c>
      <c r="H13" s="9">
        <f>J13/((1-0.7)*(0.7))</f>
        <v>-3.3333333333333326</v>
      </c>
      <c r="J13" s="19">
        <v>-0.7</v>
      </c>
      <c r="L13" s="16" t="s">
        <v>25</v>
      </c>
    </row>
    <row r="14" spans="2:13" x14ac:dyDescent="0.25">
      <c r="B14" s="1" t="s">
        <v>19</v>
      </c>
      <c r="C14" s="1">
        <v>87</v>
      </c>
      <c r="D14" s="1" t="s">
        <v>5</v>
      </c>
      <c r="E14" s="1">
        <v>1</v>
      </c>
      <c r="F14" s="7">
        <f t="shared" ref="F14:F18" si="0">$H$6</f>
        <v>0.69314718055994529</v>
      </c>
      <c r="G14" s="7">
        <f t="shared" ref="G14:G18" si="1">E14-$H$6</f>
        <v>0.30685281944005471</v>
      </c>
      <c r="H14" s="9"/>
      <c r="I14" s="9"/>
      <c r="J14">
        <v>-3.3</v>
      </c>
      <c r="L14" s="16"/>
    </row>
    <row r="15" spans="2:13" x14ac:dyDescent="0.25">
      <c r="B15" s="1" t="s">
        <v>20</v>
      </c>
      <c r="C15" s="1">
        <v>44</v>
      </c>
      <c r="D15" s="1" t="s">
        <v>4</v>
      </c>
      <c r="E15" s="1">
        <v>0</v>
      </c>
      <c r="F15" s="7">
        <f t="shared" si="0"/>
        <v>0.69314718055994529</v>
      </c>
      <c r="G15" s="7">
        <f t="shared" si="1"/>
        <v>-0.69314718055994529</v>
      </c>
      <c r="H15" s="9"/>
      <c r="I15" s="9"/>
      <c r="K15" s="5" t="s">
        <v>26</v>
      </c>
      <c r="M15" s="5" t="s">
        <v>27</v>
      </c>
    </row>
    <row r="16" spans="2:13" x14ac:dyDescent="0.25">
      <c r="B16" s="1" t="s">
        <v>19</v>
      </c>
      <c r="C16" s="1">
        <v>19</v>
      </c>
      <c r="D16" s="1" t="s">
        <v>7</v>
      </c>
      <c r="E16" s="1">
        <v>0</v>
      </c>
      <c r="F16" s="7">
        <f t="shared" si="0"/>
        <v>0.69314718055994529</v>
      </c>
      <c r="G16" s="7">
        <f t="shared" si="1"/>
        <v>-0.69314718055994529</v>
      </c>
      <c r="H16" s="9"/>
      <c r="I16" s="9"/>
      <c r="K16">
        <v>-1</v>
      </c>
      <c r="M16">
        <v>1.4</v>
      </c>
    </row>
    <row r="17" spans="2:9" x14ac:dyDescent="0.25">
      <c r="B17" s="1" t="s">
        <v>20</v>
      </c>
      <c r="C17" s="1">
        <v>32</v>
      </c>
      <c r="D17" s="1" t="s">
        <v>6</v>
      </c>
      <c r="E17" s="1">
        <v>1</v>
      </c>
      <c r="F17" s="7">
        <f t="shared" si="0"/>
        <v>0.69314718055994529</v>
      </c>
      <c r="G17" s="7">
        <f t="shared" si="1"/>
        <v>0.30685281944005471</v>
      </c>
      <c r="H17" s="9"/>
      <c r="I17" s="9"/>
    </row>
    <row r="18" spans="2:9" x14ac:dyDescent="0.25">
      <c r="B18" s="1" t="s">
        <v>20</v>
      </c>
      <c r="C18" s="1">
        <v>12</v>
      </c>
      <c r="D18" s="1" t="s">
        <v>4</v>
      </c>
      <c r="E18" s="1">
        <v>1</v>
      </c>
      <c r="F18" s="7">
        <f t="shared" si="0"/>
        <v>0.69314718055994529</v>
      </c>
      <c r="G18" s="7">
        <f t="shared" si="1"/>
        <v>0.30685281944005471</v>
      </c>
      <c r="H18" s="9"/>
      <c r="I18" s="9"/>
    </row>
    <row r="19" spans="2:9" x14ac:dyDescent="0.25">
      <c r="D19" s="24" t="s">
        <v>31</v>
      </c>
    </row>
    <row r="20" spans="2:9" x14ac:dyDescent="0.25">
      <c r="D20" t="s">
        <v>29</v>
      </c>
    </row>
    <row r="21" spans="2:9" x14ac:dyDescent="0.25">
      <c r="D21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Q43"/>
  <sheetViews>
    <sheetView showGridLines="0" tabSelected="1" workbookViewId="0">
      <selection activeCell="B2" sqref="B2:H12"/>
    </sheetView>
  </sheetViews>
  <sheetFormatPr defaultRowHeight="15" x14ac:dyDescent="0.25"/>
  <cols>
    <col min="2" max="2" width="61.85546875" customWidth="1"/>
    <col min="3" max="3" width="32" bestFit="1" customWidth="1"/>
    <col min="4" max="4" width="18.28515625" customWidth="1"/>
    <col min="5" max="5" width="15.7109375" customWidth="1"/>
    <col min="6" max="6" width="16.140625" customWidth="1"/>
    <col min="7" max="9" width="12.28515625" customWidth="1"/>
    <col min="17" max="17" width="11.42578125" customWidth="1"/>
  </cols>
  <sheetData>
    <row r="3" spans="2:17" ht="30" x14ac:dyDescent="0.25">
      <c r="B3" s="25" t="s">
        <v>33</v>
      </c>
      <c r="C3" s="25" t="s">
        <v>79</v>
      </c>
      <c r="D3" s="25" t="s">
        <v>37</v>
      </c>
      <c r="E3" s="26" t="s">
        <v>35</v>
      </c>
      <c r="F3" s="25" t="s">
        <v>69</v>
      </c>
      <c r="G3" s="39" t="s">
        <v>54</v>
      </c>
      <c r="H3" s="38" t="s">
        <v>68</v>
      </c>
    </row>
    <row r="4" spans="2:17" x14ac:dyDescent="0.25">
      <c r="B4" s="1" t="s">
        <v>19</v>
      </c>
      <c r="C4" s="1" t="s">
        <v>19</v>
      </c>
      <c r="D4" s="1">
        <v>205</v>
      </c>
      <c r="E4" s="1" t="s">
        <v>19</v>
      </c>
      <c r="F4" s="27">
        <v>0.125</v>
      </c>
      <c r="G4" s="27">
        <v>0.05</v>
      </c>
      <c r="H4" s="27">
        <f>G4/$G$12</f>
        <v>7.3529411764705871E-2</v>
      </c>
      <c r="I4" s="28"/>
    </row>
    <row r="5" spans="2:17" x14ac:dyDescent="0.25">
      <c r="B5" s="1" t="s">
        <v>36</v>
      </c>
      <c r="C5" s="1" t="s">
        <v>19</v>
      </c>
      <c r="D5" s="1">
        <v>180</v>
      </c>
      <c r="E5" s="1" t="s">
        <v>19</v>
      </c>
      <c r="F5" s="27">
        <v>0.125</v>
      </c>
      <c r="G5" s="27">
        <v>0.05</v>
      </c>
      <c r="H5" s="27">
        <f t="shared" ref="H5:H10" si="0">G5/$G$12</f>
        <v>7.3529411764705871E-2</v>
      </c>
      <c r="I5" s="28"/>
      <c r="L5" s="31" t="s">
        <v>33</v>
      </c>
      <c r="M5" s="32"/>
      <c r="Q5" s="1" t="s">
        <v>45</v>
      </c>
    </row>
    <row r="6" spans="2:17" x14ac:dyDescent="0.25">
      <c r="B6" s="1" t="s">
        <v>19</v>
      </c>
      <c r="C6" s="1" t="s">
        <v>20</v>
      </c>
      <c r="D6" s="1">
        <v>210</v>
      </c>
      <c r="E6" s="1" t="s">
        <v>19</v>
      </c>
      <c r="F6" s="27">
        <v>0.125</v>
      </c>
      <c r="G6" s="27">
        <v>0.05</v>
      </c>
      <c r="H6" s="27">
        <f t="shared" si="0"/>
        <v>7.3529411764705871E-2</v>
      </c>
      <c r="J6" s="29" t="s">
        <v>40</v>
      </c>
      <c r="K6" s="29"/>
      <c r="N6" s="29" t="s">
        <v>41</v>
      </c>
      <c r="O6" s="29"/>
    </row>
    <row r="7" spans="2:17" x14ac:dyDescent="0.25">
      <c r="B7" s="33" t="s">
        <v>19</v>
      </c>
      <c r="C7" s="33" t="s">
        <v>19</v>
      </c>
      <c r="D7" s="33">
        <v>167</v>
      </c>
      <c r="E7" s="33" t="s">
        <v>19</v>
      </c>
      <c r="F7" s="34">
        <v>0.125</v>
      </c>
      <c r="G7" s="27">
        <v>0.33</v>
      </c>
      <c r="H7" s="27">
        <f t="shared" si="0"/>
        <v>0.48529411764705871</v>
      </c>
      <c r="J7" s="30" t="s">
        <v>38</v>
      </c>
      <c r="K7" s="30" t="s">
        <v>39</v>
      </c>
      <c r="N7" s="30" t="s">
        <v>38</v>
      </c>
      <c r="O7" s="30" t="s">
        <v>39</v>
      </c>
      <c r="Q7">
        <v>0.47</v>
      </c>
    </row>
    <row r="8" spans="2:17" x14ac:dyDescent="0.25">
      <c r="B8" s="1" t="s">
        <v>36</v>
      </c>
      <c r="C8" s="1" t="s">
        <v>19</v>
      </c>
      <c r="D8" s="1">
        <v>156</v>
      </c>
      <c r="E8" s="1" t="s">
        <v>20</v>
      </c>
      <c r="F8" s="27">
        <v>0.125</v>
      </c>
      <c r="G8" s="27">
        <v>0.05</v>
      </c>
      <c r="H8" s="27">
        <f t="shared" si="0"/>
        <v>7.3529411764705871E-2</v>
      </c>
      <c r="J8" s="30">
        <v>3</v>
      </c>
      <c r="K8" s="30">
        <v>2</v>
      </c>
      <c r="N8" s="30">
        <v>2</v>
      </c>
      <c r="O8" s="30">
        <v>1</v>
      </c>
    </row>
    <row r="9" spans="2:17" x14ac:dyDescent="0.25">
      <c r="B9" s="1" t="s">
        <v>36</v>
      </c>
      <c r="C9" s="1" t="s">
        <v>19</v>
      </c>
      <c r="D9" s="1">
        <v>125</v>
      </c>
      <c r="E9" s="1" t="s">
        <v>20</v>
      </c>
      <c r="F9" s="27">
        <v>0.125</v>
      </c>
      <c r="G9" s="27">
        <v>0.05</v>
      </c>
      <c r="H9" s="27">
        <f t="shared" si="0"/>
        <v>7.3529411764705871E-2</v>
      </c>
    </row>
    <row r="10" spans="2:17" x14ac:dyDescent="0.25">
      <c r="B10" s="1" t="s">
        <v>19</v>
      </c>
      <c r="C10" s="1" t="s">
        <v>20</v>
      </c>
      <c r="D10" s="1">
        <v>168</v>
      </c>
      <c r="E10" s="1" t="s">
        <v>20</v>
      </c>
      <c r="F10" s="27">
        <v>0.125</v>
      </c>
      <c r="G10" s="27">
        <v>0.05</v>
      </c>
      <c r="H10" s="27">
        <f t="shared" si="0"/>
        <v>7.3529411764705871E-2</v>
      </c>
      <c r="L10" s="31" t="s">
        <v>34</v>
      </c>
      <c r="M10" s="32"/>
    </row>
    <row r="11" spans="2:17" x14ac:dyDescent="0.25">
      <c r="B11" s="1" t="s">
        <v>19</v>
      </c>
      <c r="C11" s="1" t="s">
        <v>19</v>
      </c>
      <c r="D11" s="1">
        <v>172</v>
      </c>
      <c r="E11" s="1" t="s">
        <v>20</v>
      </c>
      <c r="F11" s="27">
        <v>0.125</v>
      </c>
      <c r="G11" s="27">
        <v>0.05</v>
      </c>
      <c r="H11" s="27">
        <f>G11/$G$12</f>
        <v>7.3529411764705871E-2</v>
      </c>
      <c r="J11" s="29" t="s">
        <v>40</v>
      </c>
      <c r="K11" s="29"/>
      <c r="N11" s="29" t="s">
        <v>41</v>
      </c>
      <c r="O11" s="29"/>
    </row>
    <row r="12" spans="2:17" x14ac:dyDescent="0.25">
      <c r="F12" s="40">
        <f>SUM(F4:F11)</f>
        <v>1</v>
      </c>
      <c r="G12" s="40">
        <f>SUM(G4:G11)</f>
        <v>0.68000000000000016</v>
      </c>
      <c r="H12" s="40">
        <f>SUM(H4:H11)</f>
        <v>0.99999999999999967</v>
      </c>
      <c r="J12" s="30" t="s">
        <v>38</v>
      </c>
      <c r="K12" s="30" t="s">
        <v>39</v>
      </c>
      <c r="N12" s="30" t="s">
        <v>38</v>
      </c>
      <c r="O12" s="30" t="s">
        <v>39</v>
      </c>
      <c r="Q12">
        <v>0.5</v>
      </c>
    </row>
    <row r="13" spans="2:17" x14ac:dyDescent="0.25">
      <c r="B13" s="41" t="s">
        <v>72</v>
      </c>
      <c r="J13" s="30">
        <v>3</v>
      </c>
      <c r="K13" s="30">
        <v>3</v>
      </c>
      <c r="N13" s="30">
        <v>1</v>
      </c>
      <c r="O13" s="30">
        <v>1</v>
      </c>
    </row>
    <row r="14" spans="2:17" ht="30" x14ac:dyDescent="0.25">
      <c r="B14" s="1" t="s">
        <v>43</v>
      </c>
      <c r="C14" s="36" t="s">
        <v>44</v>
      </c>
    </row>
    <row r="15" spans="2:17" x14ac:dyDescent="0.25">
      <c r="B15" s="23"/>
    </row>
    <row r="16" spans="2:17" x14ac:dyDescent="0.25">
      <c r="B16" s="37" t="s">
        <v>46</v>
      </c>
      <c r="C16" s="1" t="s">
        <v>48</v>
      </c>
      <c r="L16" s="31" t="s">
        <v>42</v>
      </c>
      <c r="M16" s="32"/>
    </row>
    <row r="17" spans="2:17" x14ac:dyDescent="0.25">
      <c r="J17" s="29" t="s">
        <v>40</v>
      </c>
      <c r="K17" s="29"/>
      <c r="N17" s="29" t="s">
        <v>41</v>
      </c>
      <c r="O17" s="29"/>
    </row>
    <row r="18" spans="2:17" x14ac:dyDescent="0.25">
      <c r="B18" t="s">
        <v>47</v>
      </c>
      <c r="C18">
        <f>1/2*LN((1-1/8)/(1/8))</f>
        <v>0.97295507452765662</v>
      </c>
      <c r="J18" s="30" t="s">
        <v>38</v>
      </c>
      <c r="K18" s="30" t="s">
        <v>39</v>
      </c>
      <c r="N18" s="30" t="s">
        <v>38</v>
      </c>
      <c r="O18" s="30" t="s">
        <v>39</v>
      </c>
      <c r="Q18" s="35">
        <v>0.2</v>
      </c>
    </row>
    <row r="19" spans="2:17" x14ac:dyDescent="0.25">
      <c r="J19" s="30">
        <v>3</v>
      </c>
      <c r="K19" s="30">
        <v>0</v>
      </c>
      <c r="N19" s="30">
        <v>4</v>
      </c>
      <c r="O19" s="30">
        <v>1</v>
      </c>
    </row>
    <row r="20" spans="2:17" x14ac:dyDescent="0.25">
      <c r="B20" s="1" t="s">
        <v>49</v>
      </c>
      <c r="C20" s="1" t="s">
        <v>50</v>
      </c>
    </row>
    <row r="21" spans="2:17" x14ac:dyDescent="0.25">
      <c r="B21" s="23" t="s">
        <v>51</v>
      </c>
      <c r="C21">
        <f>(1/8)*EXP(C18)</f>
        <v>0.33071891388307378</v>
      </c>
    </row>
    <row r="23" spans="2:17" x14ac:dyDescent="0.25">
      <c r="B23" s="1" t="s">
        <v>52</v>
      </c>
      <c r="C23" s="1" t="s">
        <v>53</v>
      </c>
    </row>
    <row r="24" spans="2:17" x14ac:dyDescent="0.25">
      <c r="B24" s="23" t="s">
        <v>51</v>
      </c>
      <c r="C24">
        <f>(1/8)*EXP(-C18)</f>
        <v>4.7245559126153407E-2</v>
      </c>
    </row>
    <row r="26" spans="2:17" x14ac:dyDescent="0.25">
      <c r="B26" s="41" t="s">
        <v>59</v>
      </c>
    </row>
    <row r="28" spans="2:17" x14ac:dyDescent="0.25">
      <c r="B28" t="s">
        <v>65</v>
      </c>
      <c r="C28" t="s">
        <v>66</v>
      </c>
    </row>
    <row r="29" spans="2:17" x14ac:dyDescent="0.25">
      <c r="B29" t="s">
        <v>55</v>
      </c>
    </row>
    <row r="30" spans="2:17" x14ac:dyDescent="0.25">
      <c r="B30" t="s">
        <v>56</v>
      </c>
    </row>
    <row r="31" spans="2:17" x14ac:dyDescent="0.25">
      <c r="B31" t="s">
        <v>57</v>
      </c>
    </row>
    <row r="32" spans="2:17" x14ac:dyDescent="0.25">
      <c r="B32" t="s">
        <v>58</v>
      </c>
    </row>
    <row r="33" spans="2:2" x14ac:dyDescent="0.25">
      <c r="B33" t="s">
        <v>60</v>
      </c>
    </row>
    <row r="34" spans="2:2" x14ac:dyDescent="0.25">
      <c r="B34" t="s">
        <v>61</v>
      </c>
    </row>
    <row r="35" spans="2:2" x14ac:dyDescent="0.25">
      <c r="B35" t="s">
        <v>63</v>
      </c>
    </row>
    <row r="36" spans="2:2" x14ac:dyDescent="0.25">
      <c r="B36" t="s">
        <v>62</v>
      </c>
    </row>
    <row r="37" spans="2:2" x14ac:dyDescent="0.25">
      <c r="B37" t="s">
        <v>64</v>
      </c>
    </row>
    <row r="39" spans="2:2" x14ac:dyDescent="0.25">
      <c r="B39" s="41" t="s">
        <v>67</v>
      </c>
    </row>
    <row r="42" spans="2:2" x14ac:dyDescent="0.25">
      <c r="B42" s="41" t="s">
        <v>71</v>
      </c>
    </row>
    <row r="43" spans="2:2" x14ac:dyDescent="0.25">
      <c r="B43" s="42" t="s">
        <v>70</v>
      </c>
    </row>
  </sheetData>
  <mergeCells count="9">
    <mergeCell ref="L16:M16"/>
    <mergeCell ref="J17:K17"/>
    <mergeCell ref="N17:O17"/>
    <mergeCell ref="L5:M5"/>
    <mergeCell ref="J6:K6"/>
    <mergeCell ref="N6:O6"/>
    <mergeCell ref="L10:M10"/>
    <mergeCell ref="J11:K11"/>
    <mergeCell ref="N11:O11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E12"/>
  <sheetViews>
    <sheetView workbookViewId="0">
      <selection activeCell="C9" sqref="C9"/>
    </sheetView>
  </sheetViews>
  <sheetFormatPr defaultRowHeight="15" x14ac:dyDescent="0.25"/>
  <cols>
    <col min="3" max="3" width="12" bestFit="1" customWidth="1"/>
    <col min="4" max="4" width="12.140625" customWidth="1"/>
  </cols>
  <sheetData>
    <row r="2" spans="3:5" x14ac:dyDescent="0.25">
      <c r="C2" t="s">
        <v>75</v>
      </c>
      <c r="D2" t="s">
        <v>73</v>
      </c>
      <c r="E2" t="s">
        <v>74</v>
      </c>
    </row>
    <row r="3" spans="3:5" x14ac:dyDescent="0.25">
      <c r="C3" t="s">
        <v>19</v>
      </c>
      <c r="D3" t="s">
        <v>77</v>
      </c>
      <c r="E3">
        <v>130000</v>
      </c>
    </row>
    <row r="4" spans="3:5" x14ac:dyDescent="0.25">
      <c r="C4" t="s">
        <v>76</v>
      </c>
      <c r="D4" t="s">
        <v>78</v>
      </c>
      <c r="E4">
        <v>150000</v>
      </c>
    </row>
    <row r="5" spans="3:5" x14ac:dyDescent="0.25">
      <c r="C5" t="s">
        <v>19</v>
      </c>
      <c r="D5" t="s">
        <v>77</v>
      </c>
      <c r="E5">
        <v>80000</v>
      </c>
    </row>
    <row r="6" spans="3:5" x14ac:dyDescent="0.25">
      <c r="C6" t="s">
        <v>76</v>
      </c>
      <c r="D6" t="s">
        <v>78</v>
      </c>
      <c r="E6">
        <v>14000</v>
      </c>
    </row>
    <row r="7" spans="3:5" x14ac:dyDescent="0.25">
      <c r="C7" t="s">
        <v>19</v>
      </c>
      <c r="D7" t="s">
        <v>77</v>
      </c>
      <c r="E7">
        <v>950000</v>
      </c>
    </row>
    <row r="12" spans="3:5" ht="30.75" customHeight="1" x14ac:dyDescent="0.25">
      <c r="C12" s="4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Arkusz1</vt:lpstr>
      <vt:lpstr>Arkusz2</vt:lpstr>
      <vt:lpstr>adaBoost</vt:lpstr>
      <vt:lpstr>Arkusz4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</dc:creator>
  <cp:lastModifiedBy>Robert</cp:lastModifiedBy>
  <dcterms:created xsi:type="dcterms:W3CDTF">2020-01-08T12:18:30Z</dcterms:created>
  <dcterms:modified xsi:type="dcterms:W3CDTF">2020-01-15T16:56:34Z</dcterms:modified>
</cp:coreProperties>
</file>